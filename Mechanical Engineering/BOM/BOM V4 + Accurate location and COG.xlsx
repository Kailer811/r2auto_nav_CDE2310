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han\Documents\2026\CDE2310\repository\r2auto_nav_CDE2310\Mechanical Engineering\"/>
    </mc:Choice>
  </mc:AlternateContent>
  <xr:revisionPtr revIDLastSave="0" documentId="13_ncr:1_{C546D262-F945-49BC-BB0F-A2865A0093FB}" xr6:coauthVersionLast="47" xr6:coauthVersionMax="47" xr10:uidLastSave="{00000000-0000-0000-0000-000000000000}"/>
  <bookViews>
    <workbookView xWindow="-110" yWindow="-110" windowWidth="19420" windowHeight="11500" xr2:uid="{1B1D465E-3DD2-4382-A8A0-D12982E18C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" i="1" l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7" i="1"/>
  <c r="H42" i="1" l="1"/>
</calcChain>
</file>

<file path=xl/sharedStrings.xml><?xml version="1.0" encoding="utf-8"?>
<sst xmlns="http://schemas.openxmlformats.org/spreadsheetml/2006/main" count="113" uniqueCount="94">
  <si>
    <t>Waffle Plate</t>
  </si>
  <si>
    <t>.</t>
  </si>
  <si>
    <t>Plate Support M3x35mm</t>
  </si>
  <si>
    <t>Part Name</t>
  </si>
  <si>
    <t>Plate Support M3x45mm</t>
  </si>
  <si>
    <t>PCB Support</t>
  </si>
  <si>
    <t>Ball Caster</t>
  </si>
  <si>
    <t>DYNAMIXEL (XL430-W250-T)</t>
  </si>
  <si>
    <t>Boards</t>
  </si>
  <si>
    <t>OpenCR1.0</t>
  </si>
  <si>
    <r>
      <t>*</t>
    </r>
    <r>
      <rPr>
        <sz val="11"/>
        <color rgb="FF333333"/>
        <rFont val="Titillium-web"/>
        <family val="2"/>
      </rPr>
      <t>Raspberry Pi</t>
    </r>
  </si>
  <si>
    <t>USB2LDS</t>
  </si>
  <si>
    <t>Sensors</t>
  </si>
  <si>
    <r>
      <t>**</t>
    </r>
    <r>
      <rPr>
        <sz val="11"/>
        <color rgb="FF116AC6"/>
        <rFont val="Titillium-web"/>
        <family val="2"/>
      </rPr>
      <t>LDS-01</t>
    </r>
    <r>
      <rPr>
        <sz val="11"/>
        <color rgb="FF333333"/>
        <rFont val="Titillium-web"/>
        <family val="2"/>
      </rPr>
      <t> or </t>
    </r>
    <r>
      <rPr>
        <sz val="11"/>
        <color rgb="FF116AC6"/>
        <rFont val="Titillium-web"/>
        <family val="2"/>
      </rPr>
      <t>LDS-02</t>
    </r>
  </si>
  <si>
    <t>LIPO Battery 11.1V 1,800mAh</t>
  </si>
  <si>
    <t>Wheel &amp; tire</t>
  </si>
  <si>
    <t>x</t>
  </si>
  <si>
    <t>y</t>
  </si>
  <si>
    <t>z</t>
  </si>
  <si>
    <t>CG</t>
  </si>
  <si>
    <t>Total weight</t>
  </si>
  <si>
    <t>DC motor Bracket</t>
  </si>
  <si>
    <t>Camera Bracket</t>
  </si>
  <si>
    <t>Qty</t>
  </si>
  <si>
    <t>Weight</t>
  </si>
  <si>
    <t>Externals</t>
  </si>
  <si>
    <t>Turtlebot3 Frame</t>
  </si>
  <si>
    <t>Motors TTB</t>
  </si>
  <si>
    <t>Servo motor</t>
  </si>
  <si>
    <t>DC motor</t>
  </si>
  <si>
    <t>Camera RPI</t>
  </si>
  <si>
    <t>Ultrasonic sensor</t>
  </si>
  <si>
    <t>Weight*No</t>
  </si>
  <si>
    <t>Flywheel wheel</t>
  </si>
  <si>
    <t>Total</t>
  </si>
  <si>
    <t>Mass properties of TurtleBot3 4MB-3R</t>
  </si>
  <si>
    <t xml:space="preserve">     Configuration: Default</t>
  </si>
  <si>
    <t xml:space="preserve">     Coordinate system: Coordinate System1</t>
  </si>
  <si>
    <t>* Includes the mass properties of one or more hidden components/bodies.</t>
  </si>
  <si>
    <t>Center of mass: ( millimeters )</t>
  </si>
  <si>
    <t>Principal axes of inertia and principal moments of inertia: ( grams *  square millimeters )</t>
  </si>
  <si>
    <t>Taken at the center of mass.</t>
  </si>
  <si>
    <t>Moments of inertia: ( grams *  square millimeters )</t>
  </si>
  <si>
    <t>Taken at the center of mass and aligned with the output coordinate system. (Using positive tensor notation.)</t>
  </si>
  <si>
    <t>Taken at the output coordinate system. (Using positive tensor notation.)</t>
  </si>
  <si>
    <t>Team member </t>
  </si>
  <si>
    <t>Student ID</t>
  </si>
  <si>
    <t>HSU YUCHEN</t>
  </si>
  <si>
    <t>A0312064U</t>
  </si>
  <si>
    <t>Jonathan Sugiharto Santosa</t>
  </si>
  <si>
    <t>A0303274M</t>
  </si>
  <si>
    <t>Lim Kai Ler, Ethan</t>
  </si>
  <si>
    <t>A0307499M</t>
  </si>
  <si>
    <t>Ramanathan Alagu Subramaniam</t>
  </si>
  <si>
    <t>A0334850E</t>
  </si>
  <si>
    <t>Alluminium Wire</t>
  </si>
  <si>
    <t>Front shooting pipe</t>
  </si>
  <si>
    <t>Ultrasonic sensor Bracket</t>
  </si>
  <si>
    <t>Elbow bend gate for Ultrasonic sensor</t>
  </si>
  <si>
    <t>3D printed</t>
  </si>
  <si>
    <t>Servo and shooting pipe mounting Bracket</t>
  </si>
  <si>
    <t>Alluminium Wire mount clamp end</t>
  </si>
  <si>
    <t>Alluminium Wire mount clamp middle</t>
  </si>
  <si>
    <t>Volume = 943067.79 cubic millimeters</t>
  </si>
  <si>
    <t>Surface area = 734009.63  square millimeters</t>
  </si>
  <si>
    <t>X = 42.28</t>
  </si>
  <si>
    <t>Y = 72.35</t>
  </si>
  <si>
    <t>Z = 27.34</t>
  </si>
  <si>
    <t xml:space="preserve"> Ix = (-0.31,  0.82,  0.48)   </t>
  </si>
  <si>
    <t>Px = 5012638.87</t>
  </si>
  <si>
    <t xml:space="preserve"> Iy = (-0.25,  0.42, -0.87)   </t>
  </si>
  <si>
    <t>Py = 5783196.05</t>
  </si>
  <si>
    <t xml:space="preserve"> Iz = (-0.92, -0.39,  0.08)   </t>
  </si>
  <si>
    <t>Pz = 7429855.31</t>
  </si>
  <si>
    <t>Lxx = 7096614.70</t>
  </si>
  <si>
    <t>Lxy = -784688.89</t>
  </si>
  <si>
    <t>Lxz = 1240.43</t>
  </si>
  <si>
    <t>Lyx = -784688.89</t>
  </si>
  <si>
    <t>Lyy = 5512697.97</t>
  </si>
  <si>
    <t>Lyz = 351925.10</t>
  </si>
  <si>
    <t>Lzx = 1240.43</t>
  </si>
  <si>
    <t>Lzy = 351925.10</t>
  </si>
  <si>
    <t>Lzz = 5616377.56</t>
  </si>
  <si>
    <t>Ixx = 14776220.91</t>
  </si>
  <si>
    <t>Ixy = 3142274.57</t>
  </si>
  <si>
    <t>Ixz = 1485424.89</t>
  </si>
  <si>
    <t>Iyx = 3142274.57</t>
  </si>
  <si>
    <t>Iyy = 8767460.77</t>
  </si>
  <si>
    <t>Iyz = 2891628.58</t>
  </si>
  <si>
    <t>Izx = 1485424.89</t>
  </si>
  <si>
    <t>Izy = 2891628.58</t>
  </si>
  <si>
    <t>Izz = 14630999.42</t>
  </si>
  <si>
    <t>4 AA battery pack + Holder</t>
  </si>
  <si>
    <t>Mass = 1483.67 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</si>
</sst>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rgb="FF333333"/>
      <name val="Titillium-web"/>
      <family val="2"/>
    </font>
    <font>
      <b/>
      <sz val="11"/>
      <color rgb="FF333333"/>
      <name val="Titillium-web"/>
      <family val="2"/>
    </font>
    <font>
      <sz val="11"/>
      <color rgb="FF116AC6"/>
      <name val="Titillium-web"/>
      <family val="2"/>
    </font>
    <font>
      <vertAlign val="superscript"/>
      <sz val="11"/>
      <color rgb="FF333333"/>
      <name val="Titillium-web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333333"/>
      <name val="Titillium-web"/>
    </font>
    <font>
      <b/>
      <sz val="13.95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5" fillId="0" borderId="1" xfId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8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0" fillId="0" borderId="0" xfId="0" applyBorder="1" applyAlignment="1">
      <alignment horizontal="right" vertical="center"/>
    </xf>
    <xf numFmtId="0" fontId="0" fillId="0" borderId="0" xfId="0" applyBorder="1"/>
    <xf numFmtId="0" fontId="10" fillId="0" borderId="0" xfId="0" applyFont="1"/>
    <xf numFmtId="0" fontId="10" fillId="0" borderId="0" xfId="0" applyFont="1" applyAlignment="1">
      <alignment vertical="center"/>
    </xf>
    <xf numFmtId="0" fontId="0" fillId="0" borderId="0" xfId="0" applyFont="1"/>
    <xf numFmtId="0" fontId="10" fillId="0" borderId="0" xfId="0" applyFont="1" applyAlignment="1">
      <alignment horizontal="left" vertical="top"/>
    </xf>
    <xf numFmtId="0" fontId="0" fillId="0" borderId="1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57728</xdr:colOff>
      <xdr:row>5</xdr:row>
      <xdr:rowOff>46181</xdr:rowOff>
    </xdr:from>
    <xdr:to>
      <xdr:col>12</xdr:col>
      <xdr:colOff>543462</xdr:colOff>
      <xdr:row>20</xdr:row>
      <xdr:rowOff>96486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D53116C-6D35-BE0E-068D-A62304B88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80085" y="2486395"/>
          <a:ext cx="4413663" cy="3479305"/>
        </a:xfrm>
        <a:prstGeom prst="rect">
          <a:avLst/>
        </a:prstGeom>
      </xdr:spPr>
    </xdr:pic>
    <xdr:clientData/>
  </xdr:twoCellAnchor>
  <xdr:twoCellAnchor editAs="oneCell">
    <xdr:from>
      <xdr:col>9</xdr:col>
      <xdr:colOff>5113</xdr:colOff>
      <xdr:row>20</xdr:row>
      <xdr:rowOff>219858</xdr:rowOff>
    </xdr:from>
    <xdr:to>
      <xdr:col>12</xdr:col>
      <xdr:colOff>527031</xdr:colOff>
      <xdr:row>33</xdr:row>
      <xdr:rowOff>349991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B8CFCFB-09BF-8FFB-671C-BAADAA27C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27470" y="6089072"/>
          <a:ext cx="4449847" cy="3776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manual.robotis.com/docs/en/dxl/x/xl430-w250/" TargetMode="External"/><Relationship Id="rId2" Type="http://schemas.openxmlformats.org/officeDocument/2006/relationships/hyperlink" Target="https://emanual.robotis.com/docs/en/platform/turtlebot3/appendix_opencr1_0/" TargetMode="External"/><Relationship Id="rId1" Type="http://schemas.openxmlformats.org/officeDocument/2006/relationships/hyperlink" Target="https://emanual.robotis.com/docs/en/dxl/x/xl430-w250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5FDBD-E010-4411-9CDD-11B794C2A307}">
  <dimension ref="A1:S71"/>
  <sheetViews>
    <sheetView tabSelected="1" zoomScale="40" zoomScaleNormal="40" workbookViewId="0">
      <selection activeCell="R49" sqref="R49"/>
    </sheetView>
  </sheetViews>
  <sheetFormatPr defaultRowHeight="14.5" x14ac:dyDescent="0.35"/>
  <cols>
    <col min="1" max="1" width="16.81640625" bestFit="1" customWidth="1"/>
    <col min="2" max="2" width="20.54296875" customWidth="1"/>
    <col min="3" max="3" width="4" bestFit="1" customWidth="1"/>
    <col min="4" max="4" width="7.26953125" bestFit="1" customWidth="1"/>
    <col min="8" max="8" width="9.81640625" bestFit="1" customWidth="1"/>
    <col min="10" max="10" width="10.54296875" customWidth="1"/>
    <col min="11" max="11" width="23.7265625" bestFit="1" customWidth="1"/>
    <col min="12" max="12" width="21.90625" bestFit="1" customWidth="1"/>
    <col min="13" max="13" width="19.81640625" customWidth="1"/>
  </cols>
  <sheetData>
    <row r="1" spans="1:8" ht="36.5" thickBot="1" x14ac:dyDescent="0.4">
      <c r="A1" s="18" t="s">
        <v>45</v>
      </c>
      <c r="B1" s="18" t="s">
        <v>46</v>
      </c>
    </row>
    <row r="2" spans="1:8" ht="30" customHeight="1" thickTop="1" thickBot="1" x14ac:dyDescent="0.4">
      <c r="A2" s="19" t="s">
        <v>47</v>
      </c>
      <c r="B2" s="19" t="s">
        <v>48</v>
      </c>
    </row>
    <row r="3" spans="1:8" ht="47" thickBot="1" x14ac:dyDescent="0.4">
      <c r="A3" s="20" t="s">
        <v>49</v>
      </c>
      <c r="B3" s="20" t="s">
        <v>50</v>
      </c>
    </row>
    <row r="4" spans="1:8" ht="31.5" thickBot="1" x14ac:dyDescent="0.4">
      <c r="A4" s="20" t="s">
        <v>51</v>
      </c>
      <c r="B4" s="20" t="s">
        <v>52</v>
      </c>
    </row>
    <row r="5" spans="1:8" ht="47" thickBot="1" x14ac:dyDescent="0.4">
      <c r="A5" s="20" t="s">
        <v>53</v>
      </c>
      <c r="B5" s="20" t="s">
        <v>54</v>
      </c>
    </row>
    <row r="6" spans="1:8" x14ac:dyDescent="0.35">
      <c r="A6" s="4"/>
      <c r="B6" s="4" t="s">
        <v>3</v>
      </c>
      <c r="C6" s="5" t="s">
        <v>23</v>
      </c>
      <c r="D6" s="6" t="s">
        <v>24</v>
      </c>
      <c r="E6" s="7" t="s">
        <v>16</v>
      </c>
      <c r="F6" s="7" t="s">
        <v>17</v>
      </c>
      <c r="G6" s="7" t="s">
        <v>18</v>
      </c>
      <c r="H6" s="8" t="s">
        <v>32</v>
      </c>
    </row>
    <row r="7" spans="1:8" x14ac:dyDescent="0.35">
      <c r="A7" s="9" t="s">
        <v>26</v>
      </c>
      <c r="B7" s="10" t="s">
        <v>0</v>
      </c>
      <c r="C7" s="11">
        <v>1</v>
      </c>
      <c r="D7" s="11">
        <v>93.5</v>
      </c>
      <c r="E7" s="12">
        <v>62.9</v>
      </c>
      <c r="F7" s="12">
        <v>-4.4000000000000004</v>
      </c>
      <c r="G7" s="12">
        <v>42.7</v>
      </c>
      <c r="H7" s="12">
        <f>PRODUCT(C7:D7)</f>
        <v>93.5</v>
      </c>
    </row>
    <row r="8" spans="1:8" x14ac:dyDescent="0.35">
      <c r="A8" s="9"/>
      <c r="B8" s="10" t="s">
        <v>0</v>
      </c>
      <c r="C8" s="11">
        <v>1</v>
      </c>
      <c r="D8" s="11">
        <v>93.5</v>
      </c>
      <c r="E8" s="12">
        <v>62.9</v>
      </c>
      <c r="F8" s="12">
        <v>30.57</v>
      </c>
      <c r="G8" s="12">
        <v>42.7</v>
      </c>
      <c r="H8" s="12">
        <f t="shared" ref="H8:H41" si="0">PRODUCT(C8:D8)</f>
        <v>93.5</v>
      </c>
    </row>
    <row r="9" spans="1:8" x14ac:dyDescent="0.35">
      <c r="A9" s="9"/>
      <c r="B9" s="10" t="s">
        <v>0</v>
      </c>
      <c r="C9" s="11">
        <v>1</v>
      </c>
      <c r="D9" s="11">
        <v>93.5</v>
      </c>
      <c r="E9" s="12">
        <v>62.9</v>
      </c>
      <c r="F9" s="12">
        <v>77.52</v>
      </c>
      <c r="G9" s="12">
        <v>42.7</v>
      </c>
      <c r="H9" s="12">
        <f t="shared" si="0"/>
        <v>93.5</v>
      </c>
    </row>
    <row r="10" spans="1:8" x14ac:dyDescent="0.35">
      <c r="A10" s="9"/>
      <c r="B10" s="10" t="s">
        <v>0</v>
      </c>
      <c r="C10" s="11">
        <v>1</v>
      </c>
      <c r="D10" s="11">
        <v>93.5</v>
      </c>
      <c r="E10" s="12">
        <v>62.9</v>
      </c>
      <c r="F10" s="12">
        <v>124.4</v>
      </c>
      <c r="G10" s="12">
        <v>42.7</v>
      </c>
      <c r="H10" s="12">
        <f t="shared" si="0"/>
        <v>93.5</v>
      </c>
    </row>
    <row r="11" spans="1:8" ht="28" x14ac:dyDescent="0.35">
      <c r="A11" s="10" t="s">
        <v>1</v>
      </c>
      <c r="B11" s="10" t="s">
        <v>2</v>
      </c>
      <c r="C11" s="11">
        <v>4</v>
      </c>
      <c r="D11" s="11">
        <v>5</v>
      </c>
      <c r="E11" s="12">
        <v>62.9</v>
      </c>
      <c r="F11" s="12">
        <v>13.88</v>
      </c>
      <c r="G11" s="12">
        <v>42.7</v>
      </c>
      <c r="H11" s="12">
        <f t="shared" si="0"/>
        <v>20</v>
      </c>
    </row>
    <row r="12" spans="1:8" ht="28" x14ac:dyDescent="0.35">
      <c r="A12" s="10" t="s">
        <v>1</v>
      </c>
      <c r="B12" s="10" t="s">
        <v>4</v>
      </c>
      <c r="C12" s="11">
        <v>4</v>
      </c>
      <c r="D12" s="11">
        <v>6.5</v>
      </c>
      <c r="E12" s="12">
        <v>42.88</v>
      </c>
      <c r="F12" s="12">
        <v>53.88</v>
      </c>
      <c r="G12" s="12">
        <v>42.74</v>
      </c>
      <c r="H12" s="12">
        <f t="shared" si="0"/>
        <v>26</v>
      </c>
    </row>
    <row r="13" spans="1:8" ht="28" x14ac:dyDescent="0.35">
      <c r="A13" s="10"/>
      <c r="B13" s="10" t="s">
        <v>4</v>
      </c>
      <c r="C13" s="11">
        <v>4</v>
      </c>
      <c r="D13" s="11">
        <v>6.5</v>
      </c>
      <c r="E13" s="12">
        <v>54.88</v>
      </c>
      <c r="F13" s="12">
        <v>100.82</v>
      </c>
      <c r="G13" s="12">
        <v>42.74</v>
      </c>
      <c r="H13" s="12">
        <f t="shared" si="0"/>
        <v>26</v>
      </c>
    </row>
    <row r="14" spans="1:8" x14ac:dyDescent="0.35">
      <c r="A14" s="10"/>
      <c r="B14" s="10" t="s">
        <v>5</v>
      </c>
      <c r="C14" s="11">
        <v>4</v>
      </c>
      <c r="D14" s="11">
        <v>2.5</v>
      </c>
      <c r="E14" s="12">
        <v>62.88</v>
      </c>
      <c r="F14" s="12">
        <v>37.96</v>
      </c>
      <c r="G14" s="12">
        <v>42.74</v>
      </c>
      <c r="H14" s="12">
        <f t="shared" si="0"/>
        <v>10</v>
      </c>
    </row>
    <row r="15" spans="1:8" x14ac:dyDescent="0.35">
      <c r="A15" s="10" t="s">
        <v>1</v>
      </c>
      <c r="B15" s="10" t="s">
        <v>5</v>
      </c>
      <c r="C15" s="11">
        <v>4</v>
      </c>
      <c r="D15" s="11">
        <v>2.5</v>
      </c>
      <c r="E15" s="12">
        <v>92.63</v>
      </c>
      <c r="F15" s="12">
        <v>85.02</v>
      </c>
      <c r="G15" s="12">
        <v>45.83</v>
      </c>
      <c r="H15" s="12">
        <f t="shared" si="0"/>
        <v>10</v>
      </c>
    </row>
    <row r="16" spans="1:8" x14ac:dyDescent="0.35">
      <c r="A16" s="10"/>
      <c r="B16" s="10" t="s">
        <v>5</v>
      </c>
      <c r="C16" s="11">
        <v>4</v>
      </c>
      <c r="D16" s="11">
        <v>2.5</v>
      </c>
      <c r="E16" s="12">
        <v>61.83</v>
      </c>
      <c r="F16" s="12">
        <v>131.99</v>
      </c>
      <c r="G16" s="12">
        <v>42.89</v>
      </c>
      <c r="H16" s="12">
        <f t="shared" si="0"/>
        <v>10</v>
      </c>
    </row>
    <row r="17" spans="1:18" x14ac:dyDescent="0.35">
      <c r="A17" s="10" t="s">
        <v>1</v>
      </c>
      <c r="B17" s="10" t="s">
        <v>15</v>
      </c>
      <c r="C17" s="11">
        <v>1</v>
      </c>
      <c r="D17" s="11">
        <v>27.5</v>
      </c>
      <c r="E17" s="12">
        <v>30.87</v>
      </c>
      <c r="F17" s="12">
        <v>14.25</v>
      </c>
      <c r="G17" s="12">
        <v>-34.97</v>
      </c>
      <c r="H17" s="12">
        <f t="shared" si="0"/>
        <v>27.5</v>
      </c>
    </row>
    <row r="18" spans="1:18" x14ac:dyDescent="0.35">
      <c r="A18" s="10"/>
      <c r="B18" s="10" t="s">
        <v>15</v>
      </c>
      <c r="C18" s="11">
        <v>1</v>
      </c>
      <c r="D18" s="11">
        <v>27.5</v>
      </c>
      <c r="E18" s="12">
        <v>26.87</v>
      </c>
      <c r="F18" s="12">
        <v>14.25</v>
      </c>
      <c r="G18" s="12">
        <v>121.46</v>
      </c>
      <c r="H18" s="12">
        <f t="shared" si="0"/>
        <v>27.5</v>
      </c>
    </row>
    <row r="19" spans="1:18" x14ac:dyDescent="0.35">
      <c r="A19" s="10" t="s">
        <v>1</v>
      </c>
      <c r="B19" s="10" t="s">
        <v>6</v>
      </c>
      <c r="C19" s="11">
        <v>1</v>
      </c>
      <c r="D19" s="11">
        <v>5</v>
      </c>
      <c r="E19" s="12">
        <v>13.88</v>
      </c>
      <c r="F19" s="12">
        <v>-12.17</v>
      </c>
      <c r="G19" s="12">
        <v>42.74</v>
      </c>
      <c r="H19" s="12">
        <f t="shared" si="0"/>
        <v>5</v>
      </c>
    </row>
    <row r="20" spans="1:18" ht="29" x14ac:dyDescent="0.35">
      <c r="A20" s="9" t="s">
        <v>27</v>
      </c>
      <c r="B20" s="13" t="s">
        <v>7</v>
      </c>
      <c r="C20" s="11">
        <v>1</v>
      </c>
      <c r="D20" s="11">
        <v>57.2</v>
      </c>
      <c r="E20" s="12">
        <v>38.619999999999997</v>
      </c>
      <c r="F20" s="12">
        <v>14.52</v>
      </c>
      <c r="G20" s="12">
        <v>95.42</v>
      </c>
      <c r="H20" s="12">
        <f t="shared" si="0"/>
        <v>57.2</v>
      </c>
    </row>
    <row r="21" spans="1:18" ht="29" x14ac:dyDescent="0.35">
      <c r="A21" s="9"/>
      <c r="B21" s="13" t="s">
        <v>7</v>
      </c>
      <c r="C21" s="11">
        <v>1</v>
      </c>
      <c r="D21" s="11">
        <v>57.2</v>
      </c>
      <c r="E21" s="12">
        <v>42.62</v>
      </c>
      <c r="F21" s="12">
        <v>13.98</v>
      </c>
      <c r="G21" s="12">
        <v>-9.93</v>
      </c>
      <c r="H21" s="12">
        <f t="shared" si="0"/>
        <v>57.2</v>
      </c>
    </row>
    <row r="22" spans="1:18" x14ac:dyDescent="0.35">
      <c r="A22" s="9" t="s">
        <v>8</v>
      </c>
      <c r="B22" s="13" t="s">
        <v>9</v>
      </c>
      <c r="C22" s="11">
        <v>1</v>
      </c>
      <c r="D22" s="11">
        <v>60</v>
      </c>
      <c r="E22" s="12">
        <v>62.55</v>
      </c>
      <c r="F22" s="12">
        <v>47.86</v>
      </c>
      <c r="G22" s="12">
        <v>42.95</v>
      </c>
      <c r="H22" s="12">
        <f t="shared" si="0"/>
        <v>60</v>
      </c>
    </row>
    <row r="23" spans="1:18" ht="16.5" x14ac:dyDescent="0.35">
      <c r="A23" s="10" t="s">
        <v>1</v>
      </c>
      <c r="B23" s="14" t="s">
        <v>10</v>
      </c>
      <c r="C23" s="11">
        <v>1</v>
      </c>
      <c r="D23" s="11">
        <v>47</v>
      </c>
      <c r="E23" s="12">
        <v>56.6</v>
      </c>
      <c r="F23" s="12">
        <v>44.6</v>
      </c>
      <c r="G23" s="12">
        <v>42.9</v>
      </c>
      <c r="H23" s="12">
        <f t="shared" si="0"/>
        <v>47</v>
      </c>
    </row>
    <row r="24" spans="1:18" x14ac:dyDescent="0.35">
      <c r="A24" s="10" t="s">
        <v>1</v>
      </c>
      <c r="B24" s="10" t="s">
        <v>11</v>
      </c>
      <c r="C24" s="11">
        <v>1</v>
      </c>
      <c r="D24" s="11">
        <v>2.5</v>
      </c>
      <c r="E24" s="12">
        <v>47.9</v>
      </c>
      <c r="F24" s="12">
        <v>82.8</v>
      </c>
      <c r="G24" s="12">
        <v>44.5</v>
      </c>
      <c r="H24" s="12">
        <f t="shared" si="0"/>
        <v>2.5</v>
      </c>
    </row>
    <row r="25" spans="1:18" ht="16.5" x14ac:dyDescent="0.35">
      <c r="A25" s="9" t="s">
        <v>12</v>
      </c>
      <c r="B25" s="14" t="s">
        <v>13</v>
      </c>
      <c r="C25" s="11">
        <v>1</v>
      </c>
      <c r="D25" s="11">
        <v>135</v>
      </c>
      <c r="E25" s="12">
        <v>61.83</v>
      </c>
      <c r="F25" s="12">
        <v>147.54</v>
      </c>
      <c r="G25" s="12">
        <v>42.89</v>
      </c>
      <c r="H25" s="12">
        <f t="shared" si="0"/>
        <v>135</v>
      </c>
    </row>
    <row r="26" spans="1:18" ht="28" x14ac:dyDescent="0.35">
      <c r="A26" s="10" t="s">
        <v>1</v>
      </c>
      <c r="B26" s="10" t="s">
        <v>14</v>
      </c>
      <c r="C26" s="11">
        <v>1</v>
      </c>
      <c r="D26" s="11">
        <v>157</v>
      </c>
      <c r="E26" s="12">
        <v>53.72</v>
      </c>
      <c r="F26" s="12">
        <v>13.75</v>
      </c>
      <c r="G26" s="12">
        <v>42.74</v>
      </c>
      <c r="H26" s="12">
        <f t="shared" si="0"/>
        <v>157</v>
      </c>
    </row>
    <row r="27" spans="1:18" x14ac:dyDescent="0.35">
      <c r="A27" s="9" t="s">
        <v>59</v>
      </c>
      <c r="B27" s="10" t="s">
        <v>21</v>
      </c>
      <c r="C27" s="11">
        <v>1</v>
      </c>
      <c r="D27" s="11">
        <v>4.21</v>
      </c>
      <c r="E27" s="12">
        <v>55.76</v>
      </c>
      <c r="F27" s="12">
        <v>84.17</v>
      </c>
      <c r="G27" s="12">
        <v>-27.53</v>
      </c>
      <c r="H27" s="12">
        <f t="shared" si="0"/>
        <v>4.21</v>
      </c>
      <c r="K27" s="21"/>
      <c r="L27" s="21"/>
      <c r="M27" s="22"/>
      <c r="N27" s="22"/>
      <c r="O27" s="23"/>
      <c r="P27" s="24"/>
      <c r="Q27" s="24"/>
      <c r="R27" s="23"/>
    </row>
    <row r="28" spans="1:18" ht="42" x14ac:dyDescent="0.35">
      <c r="A28" s="10"/>
      <c r="B28" s="10" t="s">
        <v>60</v>
      </c>
      <c r="C28" s="11">
        <v>1</v>
      </c>
      <c r="D28" s="11">
        <v>13.4</v>
      </c>
      <c r="E28" s="12">
        <v>-11.76</v>
      </c>
      <c r="F28" s="12">
        <v>55.24</v>
      </c>
      <c r="G28" s="12">
        <v>-37.53</v>
      </c>
      <c r="H28" s="12">
        <f t="shared" si="0"/>
        <v>13.4</v>
      </c>
    </row>
    <row r="29" spans="1:18" ht="28" x14ac:dyDescent="0.35">
      <c r="A29" s="10"/>
      <c r="B29" s="10" t="s">
        <v>57</v>
      </c>
      <c r="C29" s="11">
        <v>1</v>
      </c>
      <c r="D29" s="11">
        <v>2.0299999999999998</v>
      </c>
      <c r="E29" s="12">
        <v>100.76</v>
      </c>
      <c r="F29" s="12">
        <v>129.41999999999999</v>
      </c>
      <c r="G29" s="12">
        <v>-43.03</v>
      </c>
      <c r="H29" s="12">
        <f t="shared" si="0"/>
        <v>2.0299999999999998</v>
      </c>
    </row>
    <row r="30" spans="1:18" x14ac:dyDescent="0.35">
      <c r="A30" s="9"/>
      <c r="B30" s="10" t="s">
        <v>22</v>
      </c>
      <c r="C30" s="11">
        <v>1</v>
      </c>
      <c r="D30" s="11">
        <v>3.21</v>
      </c>
      <c r="E30" s="12">
        <v>129.55000000000001</v>
      </c>
      <c r="F30" s="12">
        <v>136.49</v>
      </c>
      <c r="G30" s="12">
        <v>43.4</v>
      </c>
      <c r="H30" s="12">
        <f t="shared" si="0"/>
        <v>3.21</v>
      </c>
    </row>
    <row r="31" spans="1:18" ht="28" x14ac:dyDescent="0.35">
      <c r="A31" s="10"/>
      <c r="B31" s="10" t="s">
        <v>62</v>
      </c>
      <c r="C31" s="11">
        <v>1</v>
      </c>
      <c r="D31" s="11">
        <v>14.2</v>
      </c>
      <c r="E31" s="12">
        <v>-30.97</v>
      </c>
      <c r="F31" s="12">
        <v>92.9</v>
      </c>
      <c r="G31" s="12">
        <v>42.31</v>
      </c>
      <c r="H31" s="12">
        <f t="shared" si="0"/>
        <v>14.2</v>
      </c>
    </row>
    <row r="32" spans="1:18" ht="28" x14ac:dyDescent="0.35">
      <c r="A32" s="10"/>
      <c r="B32" s="10" t="s">
        <v>61</v>
      </c>
      <c r="C32" s="11">
        <v>1</v>
      </c>
      <c r="D32" s="11">
        <v>15.62</v>
      </c>
      <c r="E32" s="12">
        <v>78.5</v>
      </c>
      <c r="F32" s="12">
        <v>113.95</v>
      </c>
      <c r="G32" s="12">
        <v>136.94</v>
      </c>
      <c r="H32" s="12">
        <f t="shared" si="0"/>
        <v>15.62</v>
      </c>
    </row>
    <row r="33" spans="1:19" x14ac:dyDescent="0.35">
      <c r="A33" s="10"/>
      <c r="B33" s="10" t="s">
        <v>56</v>
      </c>
      <c r="C33" s="11">
        <v>1</v>
      </c>
      <c r="D33" s="11">
        <v>36.659999999999997</v>
      </c>
      <c r="E33" s="12">
        <v>56.5</v>
      </c>
      <c r="F33" s="12">
        <v>44.96</v>
      </c>
      <c r="G33" s="12">
        <v>-71.38</v>
      </c>
      <c r="H33" s="12">
        <f t="shared" si="0"/>
        <v>36.659999999999997</v>
      </c>
    </row>
    <row r="34" spans="1:19" ht="28" x14ac:dyDescent="0.4">
      <c r="A34" s="10"/>
      <c r="B34" s="10" t="s">
        <v>58</v>
      </c>
      <c r="C34" s="11">
        <v>1</v>
      </c>
      <c r="D34" s="11">
        <v>1.79</v>
      </c>
      <c r="E34" s="12">
        <v>-33.57</v>
      </c>
      <c r="F34" s="12">
        <v>51.85</v>
      </c>
      <c r="G34" s="12">
        <v>-54.45</v>
      </c>
      <c r="H34" s="12">
        <f t="shared" si="0"/>
        <v>1.79</v>
      </c>
      <c r="L34" s="25"/>
      <c r="M34" s="25"/>
      <c r="N34" s="25"/>
      <c r="O34" s="25"/>
      <c r="P34" s="25"/>
      <c r="Q34" s="27"/>
      <c r="R34" s="27"/>
      <c r="S34" s="27"/>
    </row>
    <row r="35" spans="1:19" ht="16" x14ac:dyDescent="0.4">
      <c r="A35" s="10"/>
      <c r="B35" s="10" t="s">
        <v>33</v>
      </c>
      <c r="C35" s="11">
        <v>1</v>
      </c>
      <c r="D35" s="11">
        <v>27.03</v>
      </c>
      <c r="E35" s="12">
        <v>47.13</v>
      </c>
      <c r="F35" s="16">
        <v>74.45</v>
      </c>
      <c r="G35" s="16">
        <v>-74.55</v>
      </c>
      <c r="H35" s="12">
        <f t="shared" si="0"/>
        <v>27.03</v>
      </c>
      <c r="L35" s="25"/>
      <c r="M35" s="25"/>
      <c r="N35" s="25"/>
      <c r="O35" s="25"/>
      <c r="P35" s="25"/>
      <c r="Q35" s="27"/>
      <c r="R35" s="27"/>
      <c r="S35" s="27"/>
    </row>
    <row r="36" spans="1:19" ht="16" x14ac:dyDescent="0.4">
      <c r="A36" s="15" t="s">
        <v>25</v>
      </c>
      <c r="B36" s="10" t="s">
        <v>55</v>
      </c>
      <c r="C36" s="11">
        <v>1</v>
      </c>
      <c r="D36" s="11">
        <v>12</v>
      </c>
      <c r="E36" s="12">
        <v>15.77</v>
      </c>
      <c r="F36" s="12">
        <v>83.82</v>
      </c>
      <c r="G36" s="12">
        <v>30.39</v>
      </c>
      <c r="H36" s="12">
        <f t="shared" si="0"/>
        <v>12</v>
      </c>
      <c r="L36" s="25"/>
      <c r="M36" s="25"/>
      <c r="N36" s="25"/>
      <c r="O36" s="25"/>
      <c r="P36" s="25"/>
      <c r="Q36" s="27"/>
      <c r="R36" s="27"/>
      <c r="S36" s="27"/>
    </row>
    <row r="37" spans="1:19" ht="16" x14ac:dyDescent="0.4">
      <c r="A37" s="10"/>
      <c r="B37" s="10" t="s">
        <v>28</v>
      </c>
      <c r="C37" s="11">
        <v>1</v>
      </c>
      <c r="D37" s="11">
        <v>6.82</v>
      </c>
      <c r="E37" s="12">
        <v>-27.76</v>
      </c>
      <c r="F37" s="12">
        <v>35.64</v>
      </c>
      <c r="G37" s="12">
        <v>-44.55</v>
      </c>
      <c r="H37" s="12">
        <f t="shared" si="0"/>
        <v>6.82</v>
      </c>
      <c r="J37" s="26" t="s">
        <v>35</v>
      </c>
      <c r="K37" s="25"/>
      <c r="L37" s="25"/>
      <c r="M37" s="25"/>
      <c r="N37" s="25"/>
      <c r="O37" s="25"/>
      <c r="P37" s="25"/>
      <c r="Q37" s="27"/>
      <c r="R37" s="27"/>
      <c r="S37" s="27"/>
    </row>
    <row r="38" spans="1:19" ht="16" x14ac:dyDescent="0.4">
      <c r="A38" s="10"/>
      <c r="B38" s="10" t="s">
        <v>29</v>
      </c>
      <c r="C38" s="11">
        <v>1</v>
      </c>
      <c r="D38" s="11">
        <v>13.12</v>
      </c>
      <c r="E38" s="12">
        <v>49.92</v>
      </c>
      <c r="F38" s="12">
        <v>98.34</v>
      </c>
      <c r="G38" s="12">
        <v>-57.72</v>
      </c>
      <c r="H38" s="12">
        <f t="shared" si="0"/>
        <v>13.12</v>
      </c>
      <c r="J38" s="26" t="s">
        <v>36</v>
      </c>
      <c r="K38" s="25"/>
      <c r="L38" s="25"/>
      <c r="M38" s="26"/>
      <c r="N38" s="25"/>
      <c r="O38" s="25"/>
      <c r="P38" s="25"/>
      <c r="Q38" s="27"/>
      <c r="R38" s="27"/>
      <c r="S38" s="27"/>
    </row>
    <row r="39" spans="1:19" ht="16" x14ac:dyDescent="0.4">
      <c r="A39" s="10"/>
      <c r="B39" s="10" t="s">
        <v>30</v>
      </c>
      <c r="C39" s="11">
        <v>1</v>
      </c>
      <c r="D39" s="11">
        <v>5.9</v>
      </c>
      <c r="E39" s="12">
        <v>139.56</v>
      </c>
      <c r="F39" s="12">
        <v>139.91999999999999</v>
      </c>
      <c r="G39" s="12">
        <v>43.17</v>
      </c>
      <c r="H39" s="12">
        <f t="shared" si="0"/>
        <v>5.9</v>
      </c>
      <c r="I39" s="1"/>
      <c r="J39" s="26" t="s">
        <v>37</v>
      </c>
      <c r="K39" s="25"/>
      <c r="L39" s="25"/>
      <c r="M39" s="25"/>
      <c r="N39" s="25"/>
      <c r="O39" s="25"/>
      <c r="P39" s="25"/>
      <c r="Q39" s="27"/>
      <c r="R39" s="27"/>
      <c r="S39" s="27"/>
    </row>
    <row r="40" spans="1:19" ht="28" x14ac:dyDescent="0.4">
      <c r="B40" s="10" t="s">
        <v>92</v>
      </c>
      <c r="C40" s="11">
        <v>1</v>
      </c>
      <c r="D40" s="11">
        <v>271.12</v>
      </c>
      <c r="E40" s="12">
        <v>-1.77</v>
      </c>
      <c r="F40" s="12">
        <v>136.84</v>
      </c>
      <c r="G40" s="12">
        <v>42.9</v>
      </c>
      <c r="H40" s="12">
        <f t="shared" si="0"/>
        <v>271.12</v>
      </c>
      <c r="I40" s="1"/>
      <c r="J40" s="26"/>
      <c r="K40" s="25"/>
      <c r="L40" s="25"/>
      <c r="M40" s="25"/>
      <c r="N40" s="25"/>
      <c r="O40" s="25"/>
      <c r="P40" s="25"/>
      <c r="Q40" s="27"/>
      <c r="R40" s="27"/>
      <c r="S40" s="27"/>
    </row>
    <row r="41" spans="1:19" ht="16" x14ac:dyDescent="0.4">
      <c r="A41" s="10"/>
      <c r="B41" s="10" t="s">
        <v>31</v>
      </c>
      <c r="C41" s="11">
        <v>1</v>
      </c>
      <c r="D41" s="11">
        <v>4.66</v>
      </c>
      <c r="E41" s="12">
        <v>102.15</v>
      </c>
      <c r="F41" s="12">
        <v>121.39</v>
      </c>
      <c r="G41" s="12">
        <v>-76.59</v>
      </c>
      <c r="H41" s="12">
        <f t="shared" si="0"/>
        <v>4.66</v>
      </c>
      <c r="J41" s="26"/>
      <c r="K41" s="25"/>
      <c r="L41" s="25"/>
      <c r="M41" s="25"/>
      <c r="N41" s="25"/>
      <c r="O41" s="25"/>
      <c r="P41" s="25"/>
      <c r="Q41" s="27"/>
      <c r="R41" s="27"/>
      <c r="S41" s="27"/>
    </row>
    <row r="42" spans="1:19" ht="16" x14ac:dyDescent="0.4">
      <c r="A42" s="10"/>
      <c r="B42" s="10"/>
      <c r="C42" s="11"/>
      <c r="D42" s="11"/>
      <c r="E42" s="16"/>
      <c r="F42" s="16"/>
      <c r="G42" s="16" t="s">
        <v>34</v>
      </c>
      <c r="H42" s="12">
        <f>SUM(H7:H41)</f>
        <v>1483.6700000000003</v>
      </c>
      <c r="J42" s="26" t="s">
        <v>38</v>
      </c>
      <c r="K42" s="25"/>
      <c r="L42" s="25"/>
      <c r="M42" s="25"/>
      <c r="N42" s="25"/>
      <c r="O42" s="25"/>
      <c r="P42" s="25"/>
      <c r="Q42" s="27"/>
      <c r="R42" s="27"/>
      <c r="S42" s="27"/>
    </row>
    <row r="43" spans="1:19" ht="16" x14ac:dyDescent="0.4">
      <c r="A43" s="2"/>
      <c r="B43" s="3" t="s">
        <v>16</v>
      </c>
      <c r="C43" s="3" t="s">
        <v>17</v>
      </c>
      <c r="D43" s="3" t="s">
        <v>18</v>
      </c>
      <c r="J43" s="28"/>
      <c r="K43" s="28"/>
      <c r="L43" s="28"/>
      <c r="M43" s="25"/>
      <c r="N43" s="25"/>
      <c r="O43" s="25"/>
      <c r="P43" s="25"/>
      <c r="Q43" s="27"/>
      <c r="R43" s="27"/>
      <c r="S43" s="27"/>
    </row>
    <row r="44" spans="1:19" ht="16" x14ac:dyDescent="0.4">
      <c r="A44" s="17" t="s">
        <v>19</v>
      </c>
      <c r="B44" s="17">
        <v>42.28</v>
      </c>
      <c r="C44" s="17">
        <v>72.349999999999994</v>
      </c>
      <c r="D44" s="17">
        <v>27.34</v>
      </c>
      <c r="J44" s="25" t="s">
        <v>93</v>
      </c>
      <c r="K44" s="25"/>
      <c r="L44" s="25"/>
      <c r="M44" s="25"/>
      <c r="N44" s="25"/>
      <c r="O44" s="25"/>
      <c r="P44" s="25"/>
      <c r="Q44" s="27"/>
      <c r="R44" s="27"/>
      <c r="S44" s="27"/>
    </row>
    <row r="45" spans="1:19" ht="16" x14ac:dyDescent="0.4">
      <c r="A45" s="17" t="s">
        <v>20</v>
      </c>
      <c r="B45" s="29">
        <v>1483.6700000000003</v>
      </c>
      <c r="C45" s="17"/>
      <c r="D45" s="17"/>
      <c r="J45" s="25"/>
      <c r="K45" s="25"/>
      <c r="L45" s="25"/>
      <c r="M45" s="25"/>
      <c r="N45" s="25"/>
      <c r="O45" s="25"/>
      <c r="P45" s="25"/>
      <c r="Q45" s="27"/>
      <c r="R45" s="27"/>
      <c r="S45" s="27"/>
    </row>
    <row r="46" spans="1:19" ht="16" x14ac:dyDescent="0.4">
      <c r="A46" s="2"/>
      <c r="B46" s="2"/>
      <c r="C46" s="3"/>
      <c r="D46" s="3"/>
      <c r="J46" s="26" t="s">
        <v>63</v>
      </c>
      <c r="K46" s="25"/>
      <c r="L46" s="25"/>
      <c r="M46" s="25"/>
      <c r="N46" s="25"/>
      <c r="O46" s="25"/>
      <c r="P46" s="25"/>
      <c r="Q46" s="27"/>
      <c r="R46" s="27"/>
      <c r="S46" s="27"/>
    </row>
    <row r="47" spans="1:19" ht="16" x14ac:dyDescent="0.4">
      <c r="A47" s="2"/>
      <c r="B47" s="2"/>
      <c r="C47" s="3"/>
      <c r="D47" s="3"/>
      <c r="J47" s="26"/>
      <c r="K47" s="25"/>
      <c r="L47" s="25"/>
      <c r="M47" s="25"/>
      <c r="N47" s="25"/>
      <c r="O47" s="25"/>
      <c r="P47" s="25"/>
      <c r="Q47" s="27"/>
      <c r="R47" s="27"/>
      <c r="S47" s="27"/>
    </row>
    <row r="48" spans="1:19" ht="16" x14ac:dyDescent="0.4">
      <c r="J48" s="25" t="s">
        <v>64</v>
      </c>
      <c r="K48" s="26"/>
      <c r="L48" s="26"/>
      <c r="M48" s="25"/>
      <c r="N48" s="25"/>
      <c r="O48" s="25"/>
      <c r="P48" s="25"/>
      <c r="Q48" s="27"/>
      <c r="R48" s="27"/>
      <c r="S48" s="27"/>
    </row>
    <row r="49" spans="9:19" ht="16" x14ac:dyDescent="0.4">
      <c r="J49" s="25"/>
      <c r="K49" s="26"/>
      <c r="L49" s="25"/>
      <c r="M49" s="25"/>
      <c r="N49" s="25"/>
      <c r="O49" s="25"/>
      <c r="P49" s="25"/>
      <c r="Q49" s="27"/>
      <c r="R49" s="27"/>
      <c r="S49" s="27"/>
    </row>
    <row r="50" spans="9:19" ht="16" x14ac:dyDescent="0.4">
      <c r="J50" s="25" t="s">
        <v>39</v>
      </c>
      <c r="K50" s="26"/>
      <c r="L50" s="25"/>
      <c r="M50" s="25"/>
      <c r="N50" s="25"/>
      <c r="O50" s="25"/>
      <c r="P50" s="25"/>
      <c r="Q50" s="27"/>
      <c r="R50" s="27"/>
      <c r="S50" s="27"/>
    </row>
    <row r="51" spans="9:19" ht="16" x14ac:dyDescent="0.4">
      <c r="J51" s="26"/>
      <c r="K51" s="25" t="s">
        <v>65</v>
      </c>
      <c r="L51" s="25"/>
      <c r="M51" s="25"/>
      <c r="N51" s="25"/>
      <c r="O51" s="25"/>
      <c r="P51" s="25"/>
      <c r="Q51" s="27"/>
      <c r="R51" s="27"/>
      <c r="S51" s="27"/>
    </row>
    <row r="52" spans="9:19" ht="16" x14ac:dyDescent="0.4">
      <c r="J52" s="26"/>
      <c r="K52" s="25" t="s">
        <v>66</v>
      </c>
      <c r="L52" s="25"/>
      <c r="M52" s="25"/>
      <c r="N52" s="25"/>
      <c r="O52" s="25"/>
      <c r="P52" s="25"/>
      <c r="Q52" s="27"/>
      <c r="R52" s="27"/>
      <c r="S52" s="27"/>
    </row>
    <row r="53" spans="9:19" ht="16" x14ac:dyDescent="0.4">
      <c r="J53" s="25"/>
      <c r="K53" s="26" t="s">
        <v>67</v>
      </c>
      <c r="L53" s="26"/>
      <c r="M53" s="26"/>
      <c r="N53" s="25"/>
      <c r="O53" s="25"/>
      <c r="P53" s="25"/>
      <c r="Q53" s="27"/>
      <c r="R53" s="27"/>
      <c r="S53" s="27"/>
    </row>
    <row r="54" spans="9:19" ht="16" x14ac:dyDescent="0.4">
      <c r="I54" s="25"/>
      <c r="J54" s="25"/>
      <c r="K54" s="26"/>
      <c r="L54" s="26"/>
      <c r="M54" s="25"/>
      <c r="O54" s="25"/>
      <c r="P54" s="25"/>
      <c r="Q54" s="27"/>
      <c r="R54" s="27"/>
      <c r="S54" s="27"/>
    </row>
    <row r="55" spans="9:19" ht="16" x14ac:dyDescent="0.4">
      <c r="I55" s="25"/>
      <c r="J55" s="25" t="s">
        <v>40</v>
      </c>
      <c r="K55" s="26"/>
      <c r="L55" s="26"/>
      <c r="M55" s="25"/>
      <c r="O55" s="25"/>
      <c r="P55" s="25"/>
      <c r="Q55" s="27"/>
      <c r="R55" s="27"/>
      <c r="S55" s="27"/>
    </row>
    <row r="56" spans="9:19" ht="16" x14ac:dyDescent="0.4">
      <c r="I56" s="25"/>
      <c r="J56" s="26" t="s">
        <v>41</v>
      </c>
      <c r="K56" s="25"/>
      <c r="L56" s="25"/>
      <c r="M56" s="25"/>
      <c r="N56" s="25"/>
      <c r="O56" s="25"/>
      <c r="P56" s="25"/>
      <c r="Q56" s="27"/>
      <c r="R56" s="27"/>
      <c r="S56" s="27"/>
    </row>
    <row r="57" spans="9:19" ht="16" x14ac:dyDescent="0.4">
      <c r="I57" s="25"/>
      <c r="J57" s="26"/>
      <c r="K57" s="25" t="s">
        <v>68</v>
      </c>
      <c r="L57" s="25" t="s">
        <v>69</v>
      </c>
      <c r="M57" s="25"/>
      <c r="N57" s="25"/>
      <c r="O57" s="25"/>
      <c r="P57" s="25"/>
      <c r="Q57" s="27"/>
      <c r="R57" s="27"/>
      <c r="S57" s="27"/>
    </row>
    <row r="58" spans="9:19" ht="16" x14ac:dyDescent="0.4">
      <c r="I58" s="25"/>
      <c r="J58" s="25"/>
      <c r="K58" s="26" t="s">
        <v>70</v>
      </c>
      <c r="L58" s="26" t="s">
        <v>71</v>
      </c>
      <c r="M58" s="26"/>
      <c r="N58" s="25"/>
      <c r="O58" s="25"/>
      <c r="P58" s="25"/>
      <c r="Q58" s="27"/>
      <c r="R58" s="27"/>
      <c r="S58" s="27"/>
    </row>
    <row r="59" spans="9:19" ht="16" x14ac:dyDescent="0.4">
      <c r="I59" s="25"/>
      <c r="J59" s="25"/>
      <c r="K59" s="26" t="s">
        <v>72</v>
      </c>
      <c r="L59" s="25" t="s">
        <v>73</v>
      </c>
      <c r="M59" s="25"/>
      <c r="O59" s="25"/>
      <c r="P59" s="25"/>
      <c r="Q59" s="27"/>
      <c r="R59" s="27"/>
      <c r="S59" s="27"/>
    </row>
    <row r="60" spans="9:19" ht="16" x14ac:dyDescent="0.4">
      <c r="I60" s="25"/>
      <c r="J60" s="25"/>
      <c r="K60" s="26"/>
      <c r="L60" s="25"/>
      <c r="M60" s="25"/>
      <c r="O60" s="25"/>
      <c r="P60" s="25"/>
      <c r="Q60" s="27"/>
      <c r="R60" s="27"/>
      <c r="S60" s="27"/>
    </row>
    <row r="61" spans="9:19" ht="16" x14ac:dyDescent="0.4">
      <c r="J61" s="25" t="s">
        <v>42</v>
      </c>
      <c r="K61" s="25"/>
      <c r="L61" s="25"/>
      <c r="M61" s="25"/>
      <c r="N61" s="25"/>
      <c r="O61" s="25"/>
      <c r="P61" s="25"/>
      <c r="Q61" s="27"/>
      <c r="R61" s="27"/>
      <c r="S61" s="27"/>
    </row>
    <row r="62" spans="9:19" ht="16" x14ac:dyDescent="0.4">
      <c r="J62" s="25" t="s">
        <v>43</v>
      </c>
      <c r="K62" s="25"/>
      <c r="L62" s="25"/>
      <c r="M62" s="25"/>
      <c r="N62" s="25"/>
      <c r="O62" s="25"/>
      <c r="P62" s="25"/>
    </row>
    <row r="63" spans="9:19" ht="16" x14ac:dyDescent="0.4">
      <c r="J63" s="25"/>
      <c r="K63" s="25" t="s">
        <v>74</v>
      </c>
      <c r="L63" s="25" t="s">
        <v>75</v>
      </c>
      <c r="M63" s="25" t="s">
        <v>76</v>
      </c>
      <c r="N63" s="25"/>
      <c r="O63" s="25"/>
      <c r="P63" s="25"/>
    </row>
    <row r="64" spans="9:19" ht="16" x14ac:dyDescent="0.4">
      <c r="J64" s="25"/>
      <c r="K64" s="25" t="s">
        <v>77</v>
      </c>
      <c r="L64" s="25" t="s">
        <v>78</v>
      </c>
      <c r="M64" s="25" t="s">
        <v>79</v>
      </c>
    </row>
    <row r="65" spans="10:13" ht="16" x14ac:dyDescent="0.4">
      <c r="J65" s="25"/>
      <c r="K65" s="25" t="s">
        <v>80</v>
      </c>
      <c r="L65" s="25" t="s">
        <v>81</v>
      </c>
      <c r="M65" s="25" t="s">
        <v>82</v>
      </c>
    </row>
    <row r="66" spans="10:13" ht="16" x14ac:dyDescent="0.4">
      <c r="J66" s="25"/>
      <c r="K66" s="25"/>
      <c r="L66" s="25"/>
      <c r="M66" s="25"/>
    </row>
    <row r="67" spans="10:13" ht="16" x14ac:dyDescent="0.4">
      <c r="J67" s="25" t="s">
        <v>42</v>
      </c>
      <c r="K67" s="25"/>
      <c r="L67" s="25"/>
      <c r="M67" s="25"/>
    </row>
    <row r="68" spans="10:13" ht="16" x14ac:dyDescent="0.4">
      <c r="J68" s="25" t="s">
        <v>44</v>
      </c>
      <c r="K68" s="25"/>
      <c r="L68" s="25"/>
      <c r="M68" s="25"/>
    </row>
    <row r="69" spans="10:13" ht="16" x14ac:dyDescent="0.4">
      <c r="J69" s="25"/>
      <c r="K69" s="25" t="s">
        <v>83</v>
      </c>
      <c r="L69" s="25" t="s">
        <v>84</v>
      </c>
      <c r="M69" s="25" t="s">
        <v>85</v>
      </c>
    </row>
    <row r="70" spans="10:13" ht="16" x14ac:dyDescent="0.4">
      <c r="J70" s="25"/>
      <c r="K70" s="25" t="s">
        <v>86</v>
      </c>
      <c r="L70" s="25" t="s">
        <v>87</v>
      </c>
      <c r="M70" s="25" t="s">
        <v>88</v>
      </c>
    </row>
    <row r="71" spans="10:13" ht="16" x14ac:dyDescent="0.4">
      <c r="J71" s="25"/>
      <c r="K71" s="25" t="s">
        <v>89</v>
      </c>
      <c r="L71" s="25" t="s">
        <v>90</v>
      </c>
      <c r="M71" s="25" t="s">
        <v>91</v>
      </c>
    </row>
  </sheetData>
  <hyperlinks>
    <hyperlink ref="B20" r:id="rId1" display="https://emanual.robotis.com/docs/en/dxl/x/xl430-w250/" xr:uid="{15C7D18D-3F6A-4EA9-ADED-3233494CD6C4}"/>
    <hyperlink ref="B22" r:id="rId2" display="https://emanual.robotis.com/docs/en/platform/turtlebot3/appendix_opencr1_0/" xr:uid="{2E48ED1F-83E6-4235-B612-A58737177D36}"/>
    <hyperlink ref="B21" r:id="rId3" display="https://emanual.robotis.com/docs/en/dxl/x/xl430-w250/" xr:uid="{A943C57E-F76B-4B5D-9A30-C7AA49518087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Ramanathan Alagu Subramaniam</dc:creator>
  <cp:lastModifiedBy>Jonathan Sugiharto Santosa</cp:lastModifiedBy>
  <dcterms:created xsi:type="dcterms:W3CDTF">2026-02-19T12:00:13Z</dcterms:created>
  <dcterms:modified xsi:type="dcterms:W3CDTF">2026-04-19T09:45:05Z</dcterms:modified>
</cp:coreProperties>
</file>